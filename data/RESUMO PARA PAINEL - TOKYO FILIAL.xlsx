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c5f8b852930854/Desktop/BONIFICAÇÕES TRIMESTRES/BÔNUS 4º TRIMESTRE/RESUMO PARA PAINEL/"/>
    </mc:Choice>
  </mc:AlternateContent>
  <xr:revisionPtr revIDLastSave="0" documentId="8_{40AB5F9B-BE41-406B-BB7B-06EF79334E12}" xr6:coauthVersionLast="47" xr6:coauthVersionMax="47" xr10:uidLastSave="{00000000-0000-0000-0000-000000000000}"/>
  <bookViews>
    <workbookView xWindow="-120" yWindow="-120" windowWidth="20730" windowHeight="11040" xr2:uid="{C9467CD7-B13E-4B54-8BA6-72BCA30F63E3}"/>
  </bookViews>
  <sheets>
    <sheet name="OUTUBRO" sheetId="1" r:id="rId1"/>
    <sheet name="NOVEMBRO" sheetId="2" r:id="rId2"/>
    <sheet name="DEZEMBRO" sheetId="3" r:id="rId3"/>
  </sheets>
  <definedNames>
    <definedName name="_xlnm._FilterDatabase" localSheetId="2" hidden="1">DEZEMBRO!$A$1:$I$34</definedName>
    <definedName name="_xlnm._FilterDatabase" localSheetId="1" hidden="1">NOVEMBRO!$A$1:$I$34</definedName>
    <definedName name="_xlnm._FilterDatabase" localSheetId="0" hidden="1">OUTUBRO!$A$1:$I$34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3" l="1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<sst xmlns="http://schemas.openxmlformats.org/spreadsheetml/2006/main" count="354" uniqueCount="57">
  <si>
    <t>CIDADE</t>
  </si>
  <si>
    <t>NOME</t>
  </si>
  <si>
    <t>FUNÇÃO</t>
  </si>
  <si>
    <t>DATA DE ADMISSÃO</t>
  </si>
  <si>
    <t>TEMPO DE CASA</t>
  </si>
  <si>
    <t>VALOR MENSAL META</t>
  </si>
  <si>
    <t>ERROS TOTAL</t>
  </si>
  <si>
    <t>ERROS GG</t>
  </si>
  <si>
    <t>OBSERVAÇÃO</t>
  </si>
  <si>
    <t>SANTA INÊS</t>
  </si>
  <si>
    <t>ANTÔNIO FRANCISCO DE CARVALHO FERREIRA</t>
  </si>
  <si>
    <t>ATOS DA COSTA SAMPAIO</t>
  </si>
  <si>
    <t>DCHESSICA DA LUZ FURTADO</t>
  </si>
  <si>
    <t>FLÁVIO MARQUES DOS SANTOS</t>
  </si>
  <si>
    <t>GLEYSSIVAN DA SILVA SOUSA</t>
  </si>
  <si>
    <t>GUILHERME FREIRES DE SOUSA</t>
  </si>
  <si>
    <t>IANKEL SEVERO CARVALHO</t>
  </si>
  <si>
    <t>JOÃO PAULO LIMA FARIAS</t>
  </si>
  <si>
    <t>RAYLSON PEREIRA DA SILVA</t>
  </si>
  <si>
    <t>REGIOWAN PATRICK SOUSA</t>
  </si>
  <si>
    <t>RENATA CÂMARA MEIRELES</t>
  </si>
  <si>
    <t>TOBIAS ANGELIN ROSA</t>
  </si>
  <si>
    <t>SAO JOAO DOS PATOS</t>
  </si>
  <si>
    <t>JOATAN CARVALHO DIA BARBOSA</t>
  </si>
  <si>
    <t>JOÃO VICTOR DE SOUSA CARVALHO OLIVEIRA</t>
  </si>
  <si>
    <t>CARLOS HENRIQUE DOS SANTOS COSTA</t>
  </si>
  <si>
    <t>CHAPADINHA</t>
  </si>
  <si>
    <t>MARCOS HENRIQUE NUNES DE CARVALHO</t>
  </si>
  <si>
    <t>CLAUDIOMAR RODRIGUES DE ARAUJO</t>
  </si>
  <si>
    <t>ROMARIO MEDEIROS CUNHA</t>
  </si>
  <si>
    <t>BARRA DO CORDA</t>
  </si>
  <si>
    <t>HARRISSON BARBOSA DA SILVA</t>
  </si>
  <si>
    <t>RODRIGO SOUSA DIAS</t>
  </si>
  <si>
    <t>SANTHIAGO SOUZA ALCANTARA DE ARAUJO</t>
  </si>
  <si>
    <t>THIAGO VIEIRA DOS SANTOS</t>
  </si>
  <si>
    <t>SÃO JOSÉ DE RIBAMAR</t>
  </si>
  <si>
    <t>ANA ISABEL OLIVEIRA</t>
  </si>
  <si>
    <t>DANNYLO DYEGO FERREIRA RODRIGUES</t>
  </si>
  <si>
    <t>DÉBORA CUNHA PRAZERES AIRES</t>
  </si>
  <si>
    <t>GILBERTO BASTOS LIMA</t>
  </si>
  <si>
    <t>HUGO LEONARDO SANTOS PEREIRA</t>
  </si>
  <si>
    <t>JAVAN DA GRACA COSTA</t>
  </si>
  <si>
    <t>JONAS ALVES DE OLIVEIRA SILVA</t>
  </si>
  <si>
    <t>PEDRO LUCAS CARNEIRO LIMA</t>
  </si>
  <si>
    <t>VICTOR EMANUEL DA SILVA CARVALHO</t>
  </si>
  <si>
    <t>MATEUS DOUGLAS ROCHA FERREIRA</t>
  </si>
  <si>
    <t>Erik dos Santos Ferreira Junior</t>
  </si>
  <si>
    <t>ATENDENTE</t>
  </si>
  <si>
    <t>VISTORIADOR</t>
  </si>
  <si>
    <t>SERV GERAIS</t>
  </si>
  <si>
    <t>FÉRIAS DEZEMBRO</t>
  </si>
  <si>
    <t>TEMPO DE CASA INFERIOR</t>
  </si>
  <si>
    <t>FÉRIAS NOVEMBRO</t>
  </si>
  <si>
    <t>FÉRIAS OUTUBRO</t>
  </si>
  <si>
    <t>MADSON RONNY PEREIRA MELO</t>
  </si>
  <si>
    <t>SUPERVISOR</t>
  </si>
  <si>
    <t>2 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</si>
</sst>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%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rial Narrow"/>
      <family val="2"/>
    </font>
    <font>
      <b/>
      <sz val="8"/>
      <color rgb="FFFF0000"/>
      <name val="Balthazar"/>
    </font>
    <font>
      <sz val="8"/>
      <color theme="1"/>
      <name val="Arial"/>
      <family val="2"/>
    </font>
    <font>
      <sz val="8"/>
      <color rgb="FFFF0000"/>
      <name val="Balthazar"/>
    </font>
    <font>
      <sz val="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9138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0" fontId="2" fillId="2" borderId="1" xfId="2" applyNumberFormat="1" applyFont="1" applyFill="1" applyBorder="1" applyAlignment="1">
      <alignment horizontal="center"/>
    </xf>
    <xf numFmtId="10" fontId="2" fillId="2" borderId="1" xfId="2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44" fontId="6" fillId="0" borderId="1" xfId="1" applyFont="1" applyBorder="1" applyAlignment="1">
      <alignment horizontal="center" vertical="center"/>
    </xf>
    <xf numFmtId="164" fontId="6" fillId="0" borderId="1" xfId="2" applyNumberFormat="1" applyFont="1" applyBorder="1" applyAlignment="1">
      <alignment horizontal="center" vertical="center"/>
    </xf>
    <xf numFmtId="10" fontId="6" fillId="0" borderId="1" xfId="2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4" fontId="6" fillId="0" borderId="1" xfId="2" applyNumberFormat="1" applyFont="1" applyFill="1" applyBorder="1" applyAlignment="1">
      <alignment horizontal="center" vertical="center"/>
    </xf>
    <xf numFmtId="0" fontId="0" fillId="0" borderId="1" xfId="0" applyBorder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CD569-5738-46A2-A8A5-CC9C971D040C}">
  <dimension ref="A1:I35"/>
  <sheetViews>
    <sheetView tabSelected="1" workbookViewId="0">
      <selection activeCell="B11" sqref="B11"/>
    </sheetView>
  </sheetViews>
  <sheetFormatPr defaultRowHeight="15"/>
  <cols>
    <col min="1" max="1" width="18.7109375" bestFit="1" customWidth="1"/>
    <col min="2" max="2" width="35.85546875" bestFit="1" customWidth="1"/>
    <col min="3" max="3" width="9.85546875" bestFit="1" customWidth="1"/>
    <col min="4" max="4" width="13.85546875" bestFit="1" customWidth="1"/>
    <col min="5" max="5" width="11.85546875" bestFit="1" customWidth="1"/>
    <col min="6" max="6" width="15.5703125" bestFit="1" customWidth="1"/>
    <col min="7" max="7" width="10.42578125" bestFit="1" customWidth="1"/>
    <col min="8" max="8" width="8.140625" bestFit="1" customWidth="1"/>
    <col min="9" max="9" width="18.28515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</row>
    <row r="2" spans="1:9">
      <c r="A2" s="6" t="s">
        <v>9</v>
      </c>
      <c r="B2" s="7" t="s">
        <v>10</v>
      </c>
      <c r="C2" s="10" t="s">
        <v>47</v>
      </c>
      <c r="D2" s="11">
        <v>45587</v>
      </c>
      <c r="E2" s="12" t="str">
        <f ca="1">IFERROR(IF(INT((TODAY()-D2)/365)&gt;=1, INT((TODAY()-D2)/365) &amp; " " &amp; IF(INT((TODAY()-D2)/365)=1,"ano","anos"), INT((TODAY()-D2)/30) &amp; " " &amp; IF(INT((TODAY()-D2)/30)=1,"mês","meses")), "")</f>
        <v>1 ano</v>
      </c>
      <c r="F2" s="13">
        <v>350</v>
      </c>
      <c r="G2" s="14">
        <v>0</v>
      </c>
      <c r="H2" s="14">
        <v>0</v>
      </c>
      <c r="I2" s="16"/>
    </row>
    <row r="3" spans="1:9">
      <c r="A3" s="6" t="s">
        <v>9</v>
      </c>
      <c r="B3" s="7" t="s">
        <v>11</v>
      </c>
      <c r="C3" s="10" t="s">
        <v>48</v>
      </c>
      <c r="D3" s="11">
        <v>45343</v>
      </c>
      <c r="E3" s="12" t="str">
        <f t="shared" ref="E3:E34" ca="1" si="0">IFERROR(IF(INT((TODAY()-D3)/365)&gt;=1, INT((TODAY()-D3)/365) &amp; " " &amp; IF(INT((TODAY()-D3)/365)=1,"ano","anos"), INT((TODAY()-D3)/30) &amp; " " &amp; IF(INT((TODAY()-D3)/30)=1,"mês","meses")), "")</f>
        <v>1 ano</v>
      </c>
      <c r="F3" s="13">
        <v>400</v>
      </c>
      <c r="G3" s="14">
        <v>1.7999999999999999E-2</v>
      </c>
      <c r="H3" s="14">
        <v>0</v>
      </c>
      <c r="I3" s="16"/>
    </row>
    <row r="4" spans="1:9">
      <c r="A4" s="6" t="s">
        <v>9</v>
      </c>
      <c r="B4" s="7" t="s">
        <v>12</v>
      </c>
      <c r="C4" s="10" t="s">
        <v>47</v>
      </c>
      <c r="D4" s="11">
        <v>45173</v>
      </c>
      <c r="E4" s="12" t="str">
        <f t="shared" ca="1" si="0"/>
        <v>2 anos</v>
      </c>
      <c r="F4" s="13">
        <v>350</v>
      </c>
      <c r="G4" s="14">
        <v>0</v>
      </c>
      <c r="H4" s="14">
        <v>0</v>
      </c>
      <c r="I4" s="16"/>
    </row>
    <row r="5" spans="1:9">
      <c r="A5" s="6" t="s">
        <v>9</v>
      </c>
      <c r="B5" s="7" t="s">
        <v>13</v>
      </c>
      <c r="C5" s="10" t="s">
        <v>48</v>
      </c>
      <c r="D5" s="11">
        <v>45180</v>
      </c>
      <c r="E5" s="12" t="str">
        <f t="shared" ca="1" si="0"/>
        <v>2 anos</v>
      </c>
      <c r="F5" s="13">
        <v>400</v>
      </c>
      <c r="G5" s="14">
        <v>1.6E-2</v>
      </c>
      <c r="H5" s="14">
        <v>3.0000000000000001E-3</v>
      </c>
      <c r="I5" s="16"/>
    </row>
    <row r="6" spans="1:9">
      <c r="A6" s="6" t="s">
        <v>9</v>
      </c>
      <c r="B6" s="7" t="s">
        <v>14</v>
      </c>
      <c r="C6" s="10" t="s">
        <v>48</v>
      </c>
      <c r="D6" s="11">
        <v>45343</v>
      </c>
      <c r="E6" s="12" t="str">
        <f t="shared" ca="1" si="0"/>
        <v>1 ano</v>
      </c>
      <c r="F6" s="13">
        <v>400</v>
      </c>
      <c r="G6" s="14">
        <v>8.9999999999999993E-3</v>
      </c>
      <c r="H6" s="14">
        <v>6.0000000000000001E-3</v>
      </c>
      <c r="I6" s="16"/>
    </row>
    <row r="7" spans="1:9">
      <c r="A7" s="6" t="s">
        <v>9</v>
      </c>
      <c r="B7" s="7" t="s">
        <v>15</v>
      </c>
      <c r="C7" s="10" t="s">
        <v>48</v>
      </c>
      <c r="D7" s="11">
        <v>45432</v>
      </c>
      <c r="E7" s="12" t="str">
        <f t="shared" ca="1" si="0"/>
        <v>1 ano</v>
      </c>
      <c r="F7" s="13">
        <v>0</v>
      </c>
      <c r="G7" s="14">
        <v>0</v>
      </c>
      <c r="H7" s="14">
        <v>0</v>
      </c>
      <c r="I7" s="16" t="s">
        <v>53</v>
      </c>
    </row>
    <row r="8" spans="1:9">
      <c r="A8" s="6" t="s">
        <v>9</v>
      </c>
      <c r="B8" s="7" t="s">
        <v>16</v>
      </c>
      <c r="C8" s="10" t="s">
        <v>48</v>
      </c>
      <c r="D8" s="11">
        <v>45173</v>
      </c>
      <c r="E8" s="12" t="str">
        <f t="shared" ca="1" si="0"/>
        <v>2 anos</v>
      </c>
      <c r="F8" s="13">
        <v>400</v>
      </c>
      <c r="G8" s="14">
        <v>4.9000000000000002E-2</v>
      </c>
      <c r="H8" s="14">
        <v>1.9E-2</v>
      </c>
      <c r="I8" s="16"/>
    </row>
    <row r="9" spans="1:9">
      <c r="A9" s="6" t="s">
        <v>9</v>
      </c>
      <c r="B9" s="7" t="s">
        <v>17</v>
      </c>
      <c r="C9" s="10" t="s">
        <v>48</v>
      </c>
      <c r="D9" s="11">
        <v>45315</v>
      </c>
      <c r="E9" s="12" t="str">
        <f t="shared" ca="1" si="0"/>
        <v>1 ano</v>
      </c>
      <c r="F9" s="13">
        <v>400</v>
      </c>
      <c r="G9" s="14">
        <v>6.0000000000000001E-3</v>
      </c>
      <c r="H9" s="14">
        <v>0</v>
      </c>
      <c r="I9" s="16"/>
    </row>
    <row r="10" spans="1:9">
      <c r="A10" s="6" t="s">
        <v>9</v>
      </c>
      <c r="B10" s="7" t="s">
        <v>18</v>
      </c>
      <c r="C10" s="10" t="s">
        <v>48</v>
      </c>
      <c r="D10" s="11">
        <v>45371</v>
      </c>
      <c r="E10" s="12" t="str">
        <f t="shared" ca="1" si="0"/>
        <v>1 ano</v>
      </c>
      <c r="F10" s="13">
        <v>400</v>
      </c>
      <c r="G10" s="14">
        <v>0.02</v>
      </c>
      <c r="H10" s="14">
        <v>3.0000000000000001E-3</v>
      </c>
      <c r="I10" s="16"/>
    </row>
    <row r="11" spans="1:9">
      <c r="A11" s="6" t="s">
        <v>9</v>
      </c>
      <c r="B11" s="7" t="s">
        <v>19</v>
      </c>
      <c r="C11" s="10" t="s">
        <v>48</v>
      </c>
      <c r="D11" s="11">
        <v>45173</v>
      </c>
      <c r="E11" s="12" t="str">
        <f t="shared" ca="1" si="0"/>
        <v>2 anos</v>
      </c>
      <c r="F11" s="13">
        <v>400</v>
      </c>
      <c r="G11" s="14">
        <v>3.5000000000000003E-2</v>
      </c>
      <c r="H11" s="14">
        <v>1.4E-2</v>
      </c>
      <c r="I11" s="16"/>
    </row>
    <row r="12" spans="1:9">
      <c r="A12" s="6" t="s">
        <v>9</v>
      </c>
      <c r="B12" s="7" t="s">
        <v>20</v>
      </c>
      <c r="C12" s="10" t="s">
        <v>49</v>
      </c>
      <c r="D12" s="11">
        <v>45660</v>
      </c>
      <c r="E12" s="12" t="str">
        <f t="shared" ca="1" si="0"/>
        <v>1 ano</v>
      </c>
      <c r="F12" s="13">
        <v>350</v>
      </c>
      <c r="G12" s="14">
        <v>0</v>
      </c>
      <c r="H12" s="14">
        <v>0</v>
      </c>
      <c r="I12" s="16"/>
    </row>
    <row r="13" spans="1:9">
      <c r="A13" s="6" t="s">
        <v>9</v>
      </c>
      <c r="B13" s="7" t="s">
        <v>21</v>
      </c>
      <c r="C13" s="10" t="s">
        <v>48</v>
      </c>
      <c r="D13" s="11">
        <v>45173</v>
      </c>
      <c r="E13" s="12" t="str">
        <f t="shared" ca="1" si="0"/>
        <v>2 anos</v>
      </c>
      <c r="F13" s="13">
        <v>400</v>
      </c>
      <c r="G13" s="14">
        <v>7.3999999999999996E-2</v>
      </c>
      <c r="H13" s="14">
        <v>2.5000000000000001E-2</v>
      </c>
      <c r="I13" s="16"/>
    </row>
    <row r="14" spans="1:9">
      <c r="A14" s="6" t="s">
        <v>22</v>
      </c>
      <c r="B14" s="7" t="s">
        <v>23</v>
      </c>
      <c r="C14" s="10" t="s">
        <v>48</v>
      </c>
      <c r="D14" s="11">
        <v>45343</v>
      </c>
      <c r="E14" s="12" t="str">
        <f t="shared" ca="1" si="0"/>
        <v>1 ano</v>
      </c>
      <c r="F14" s="13">
        <v>400</v>
      </c>
      <c r="G14" s="14">
        <v>1.7000000000000001E-2</v>
      </c>
      <c r="H14" s="14">
        <v>0.01</v>
      </c>
      <c r="I14" s="16"/>
    </row>
    <row r="15" spans="1:9">
      <c r="A15" s="6" t="s">
        <v>22</v>
      </c>
      <c r="B15" s="7" t="s">
        <v>24</v>
      </c>
      <c r="C15" s="10" t="s">
        <v>48</v>
      </c>
      <c r="D15" s="11">
        <v>45932</v>
      </c>
      <c r="E15" s="12" t="str">
        <f t="shared" ca="1" si="0"/>
        <v>3 meses</v>
      </c>
      <c r="F15" s="13">
        <v>0</v>
      </c>
      <c r="G15" s="14">
        <v>6.7567567567567571E-2</v>
      </c>
      <c r="H15" s="14">
        <v>0</v>
      </c>
      <c r="I15" s="16" t="s">
        <v>51</v>
      </c>
    </row>
    <row r="16" spans="1:9">
      <c r="A16" s="6" t="s">
        <v>9</v>
      </c>
      <c r="B16" s="7" t="s">
        <v>25</v>
      </c>
      <c r="C16" s="10" t="s">
        <v>48</v>
      </c>
      <c r="D16" s="11">
        <v>45733</v>
      </c>
      <c r="E16" s="12" t="str">
        <f t="shared" ca="1" si="0"/>
        <v>10 meses</v>
      </c>
      <c r="F16" s="13">
        <v>400</v>
      </c>
      <c r="G16" s="14">
        <v>2.8000000000000001E-2</v>
      </c>
      <c r="H16" s="14">
        <v>6.0000000000000001E-3</v>
      </c>
      <c r="I16" s="16"/>
    </row>
    <row r="17" spans="1:9">
      <c r="A17" s="8" t="s">
        <v>26</v>
      </c>
      <c r="B17" s="7" t="s">
        <v>27</v>
      </c>
      <c r="C17" s="10" t="s">
        <v>48</v>
      </c>
      <c r="D17" s="11">
        <v>45587</v>
      </c>
      <c r="E17" s="12" t="str">
        <f t="shared" ca="1" si="0"/>
        <v>1 ano</v>
      </c>
      <c r="F17" s="13">
        <v>400</v>
      </c>
      <c r="G17" s="14">
        <v>5.0999999999999997E-2</v>
      </c>
      <c r="H17" s="14">
        <v>2.3E-2</v>
      </c>
      <c r="I17" s="16"/>
    </row>
    <row r="18" spans="1:9">
      <c r="A18" s="8" t="s">
        <v>26</v>
      </c>
      <c r="B18" s="7" t="s">
        <v>28</v>
      </c>
      <c r="C18" s="10" t="s">
        <v>48</v>
      </c>
      <c r="D18" s="11">
        <v>45931</v>
      </c>
      <c r="E18" s="12" t="str">
        <f t="shared" ca="1" si="0"/>
        <v>3 meses</v>
      </c>
      <c r="F18" s="13">
        <v>0</v>
      </c>
      <c r="G18" s="14">
        <v>0</v>
      </c>
      <c r="H18" s="14">
        <v>0</v>
      </c>
      <c r="I18" s="16" t="s">
        <v>51</v>
      </c>
    </row>
    <row r="19" spans="1:9">
      <c r="A19" s="8" t="s">
        <v>26</v>
      </c>
      <c r="B19" s="7" t="s">
        <v>29</v>
      </c>
      <c r="C19" s="10" t="s">
        <v>48</v>
      </c>
      <c r="D19" s="11">
        <v>45810</v>
      </c>
      <c r="E19" s="12" t="str">
        <f t="shared" ca="1" si="0"/>
        <v>7 meses</v>
      </c>
      <c r="F19" s="13">
        <v>400</v>
      </c>
      <c r="G19" s="14">
        <v>0.17899999999999999</v>
      </c>
      <c r="H19" s="14">
        <v>6.2E-2</v>
      </c>
      <c r="I19" s="16"/>
    </row>
    <row r="20" spans="1:9">
      <c r="A20" s="8" t="s">
        <v>30</v>
      </c>
      <c r="B20" s="7" t="s">
        <v>31</v>
      </c>
      <c r="C20" s="10" t="s">
        <v>48</v>
      </c>
      <c r="D20" s="11">
        <v>45173</v>
      </c>
      <c r="E20" s="12" t="str">
        <f t="shared" ca="1" si="0"/>
        <v>2 anos</v>
      </c>
      <c r="F20" s="13">
        <v>0</v>
      </c>
      <c r="G20" s="14">
        <v>0</v>
      </c>
      <c r="H20" s="14">
        <v>0</v>
      </c>
      <c r="I20" s="16" t="s">
        <v>53</v>
      </c>
    </row>
    <row r="21" spans="1:9">
      <c r="A21" s="8" t="s">
        <v>30</v>
      </c>
      <c r="B21" s="7" t="s">
        <v>32</v>
      </c>
      <c r="C21" s="10" t="s">
        <v>48</v>
      </c>
      <c r="D21" s="11">
        <v>45173</v>
      </c>
      <c r="E21" s="12" t="str">
        <f t="shared" ca="1" si="0"/>
        <v>2 anos</v>
      </c>
      <c r="F21" s="13">
        <v>400</v>
      </c>
      <c r="G21" s="14">
        <v>1.6E-2</v>
      </c>
      <c r="H21" s="14">
        <v>6.0000000000000001E-3</v>
      </c>
      <c r="I21" s="16"/>
    </row>
    <row r="22" spans="1:9">
      <c r="A22" s="8" t="s">
        <v>30</v>
      </c>
      <c r="B22" s="7" t="s">
        <v>33</v>
      </c>
      <c r="C22" s="10" t="s">
        <v>48</v>
      </c>
      <c r="D22" s="11">
        <v>45938</v>
      </c>
      <c r="E22" s="12" t="str">
        <f t="shared" ca="1" si="0"/>
        <v>3 meses</v>
      </c>
      <c r="F22" s="13">
        <v>0</v>
      </c>
      <c r="G22" s="14">
        <v>0</v>
      </c>
      <c r="H22" s="14">
        <v>0</v>
      </c>
      <c r="I22" s="16" t="s">
        <v>51</v>
      </c>
    </row>
    <row r="23" spans="1:9">
      <c r="A23" s="8" t="s">
        <v>30</v>
      </c>
      <c r="B23" s="7" t="s">
        <v>34</v>
      </c>
      <c r="C23" s="10" t="s">
        <v>48</v>
      </c>
      <c r="D23" s="11">
        <v>45173</v>
      </c>
      <c r="E23" s="12" t="str">
        <f t="shared" ca="1" si="0"/>
        <v>2 anos</v>
      </c>
      <c r="F23" s="13">
        <v>400</v>
      </c>
      <c r="G23" s="14">
        <v>0.02</v>
      </c>
      <c r="H23" s="14">
        <v>8.9999999999999993E-3</v>
      </c>
      <c r="I23" s="16"/>
    </row>
    <row r="24" spans="1:9">
      <c r="A24" s="9" t="s">
        <v>35</v>
      </c>
      <c r="B24" s="7" t="s">
        <v>36</v>
      </c>
      <c r="C24" s="10" t="s">
        <v>49</v>
      </c>
      <c r="D24" s="11">
        <v>45209</v>
      </c>
      <c r="E24" s="12" t="str">
        <f t="shared" ca="1" si="0"/>
        <v>2 anos</v>
      </c>
      <c r="F24" s="13">
        <v>350</v>
      </c>
      <c r="G24" s="14">
        <v>0</v>
      </c>
      <c r="H24" s="14">
        <v>0</v>
      </c>
      <c r="I24" s="16"/>
    </row>
    <row r="25" spans="1:9">
      <c r="A25" s="9" t="s">
        <v>35</v>
      </c>
      <c r="B25" s="7" t="s">
        <v>37</v>
      </c>
      <c r="C25" s="10" t="s">
        <v>48</v>
      </c>
      <c r="D25" s="11">
        <v>45517</v>
      </c>
      <c r="E25" s="12" t="str">
        <f t="shared" ca="1" si="0"/>
        <v>1 ano</v>
      </c>
      <c r="F25" s="13">
        <v>400</v>
      </c>
      <c r="G25" s="14">
        <v>2.1000000000000001E-2</v>
      </c>
      <c r="H25" s="14">
        <v>4.0000000000000001E-3</v>
      </c>
      <c r="I25" s="16"/>
    </row>
    <row r="26" spans="1:9">
      <c r="A26" s="9" t="s">
        <v>35</v>
      </c>
      <c r="B26" s="7" t="s">
        <v>38</v>
      </c>
      <c r="C26" s="10" t="s">
        <v>47</v>
      </c>
      <c r="D26" s="11">
        <v>45621</v>
      </c>
      <c r="E26" s="12" t="str">
        <f t="shared" ca="1" si="0"/>
        <v>1 ano</v>
      </c>
      <c r="F26" s="13">
        <v>350</v>
      </c>
      <c r="G26" s="14">
        <v>0</v>
      </c>
      <c r="H26" s="14">
        <v>0</v>
      </c>
      <c r="I26" s="16"/>
    </row>
    <row r="27" spans="1:9">
      <c r="A27" s="9" t="s">
        <v>35</v>
      </c>
      <c r="B27" s="7" t="s">
        <v>39</v>
      </c>
      <c r="C27" s="10" t="s">
        <v>48</v>
      </c>
      <c r="D27" s="11">
        <v>45397</v>
      </c>
      <c r="E27" s="12" t="str">
        <f t="shared" ca="1" si="0"/>
        <v>1 ano</v>
      </c>
      <c r="F27" s="13">
        <v>400</v>
      </c>
      <c r="G27" s="14">
        <v>2.7E-2</v>
      </c>
      <c r="H27" s="14">
        <v>0.02</v>
      </c>
      <c r="I27" s="16"/>
    </row>
    <row r="28" spans="1:9">
      <c r="A28" s="9" t="s">
        <v>35</v>
      </c>
      <c r="B28" s="7" t="s">
        <v>40</v>
      </c>
      <c r="C28" s="10" t="s">
        <v>48</v>
      </c>
      <c r="D28" s="11">
        <v>45628</v>
      </c>
      <c r="E28" s="12" t="str">
        <f t="shared" ca="1" si="0"/>
        <v>1 ano</v>
      </c>
      <c r="F28" s="13">
        <v>400</v>
      </c>
      <c r="G28" s="14">
        <v>3.5999999999999997E-2</v>
      </c>
      <c r="H28" s="14">
        <v>3.0000000000000001E-3</v>
      </c>
      <c r="I28" s="16"/>
    </row>
    <row r="29" spans="1:9">
      <c r="A29" s="9" t="s">
        <v>35</v>
      </c>
      <c r="B29" s="7" t="s">
        <v>41</v>
      </c>
      <c r="C29" s="10" t="s">
        <v>48</v>
      </c>
      <c r="D29" s="11">
        <v>45383</v>
      </c>
      <c r="E29" s="12" t="str">
        <f t="shared" ca="1" si="0"/>
        <v>1 ano</v>
      </c>
      <c r="F29" s="13">
        <v>400</v>
      </c>
      <c r="G29" s="14">
        <v>4.3999999999999997E-2</v>
      </c>
      <c r="H29" s="14">
        <v>8.0000000000000002E-3</v>
      </c>
      <c r="I29" s="16"/>
    </row>
    <row r="30" spans="1:9">
      <c r="A30" s="9" t="s">
        <v>35</v>
      </c>
      <c r="B30" s="7" t="s">
        <v>42</v>
      </c>
      <c r="C30" s="10" t="s">
        <v>48</v>
      </c>
      <c r="D30" s="11">
        <v>45401</v>
      </c>
      <c r="E30" s="12" t="str">
        <f t="shared" ca="1" si="0"/>
        <v>1 ano</v>
      </c>
      <c r="F30" s="13">
        <v>400</v>
      </c>
      <c r="G30" s="14">
        <v>3.5999999999999997E-2</v>
      </c>
      <c r="H30" s="14">
        <v>1.0999999999999999E-2</v>
      </c>
      <c r="I30" s="16"/>
    </row>
    <row r="31" spans="1:9">
      <c r="A31" s="9" t="s">
        <v>35</v>
      </c>
      <c r="B31" s="7" t="s">
        <v>43</v>
      </c>
      <c r="C31" s="10" t="s">
        <v>47</v>
      </c>
      <c r="D31" s="11">
        <v>45209</v>
      </c>
      <c r="E31" s="12" t="str">
        <f t="shared" ca="1" si="0"/>
        <v>2 anos</v>
      </c>
      <c r="F31" s="13">
        <v>350</v>
      </c>
      <c r="G31" s="14">
        <v>0</v>
      </c>
      <c r="H31" s="14">
        <v>0</v>
      </c>
      <c r="I31" s="16"/>
    </row>
    <row r="32" spans="1:9">
      <c r="A32" s="9" t="s">
        <v>35</v>
      </c>
      <c r="B32" s="7" t="s">
        <v>44</v>
      </c>
      <c r="C32" s="10" t="s">
        <v>48</v>
      </c>
      <c r="D32" s="11">
        <v>45566</v>
      </c>
      <c r="E32" s="12" t="str">
        <f t="shared" ca="1" si="0"/>
        <v>1 ano</v>
      </c>
      <c r="F32" s="13">
        <v>400</v>
      </c>
      <c r="G32" s="14">
        <v>5.7000000000000002E-2</v>
      </c>
      <c r="H32" s="14">
        <v>0.02</v>
      </c>
      <c r="I32" s="16"/>
    </row>
    <row r="33" spans="1:9">
      <c r="A33" s="9" t="s">
        <v>35</v>
      </c>
      <c r="B33" s="7" t="s">
        <v>45</v>
      </c>
      <c r="C33" s="10" t="s">
        <v>48</v>
      </c>
      <c r="D33" s="11">
        <v>45852</v>
      </c>
      <c r="E33" s="12" t="str">
        <f t="shared" ca="1" si="0"/>
        <v>6 meses</v>
      </c>
      <c r="F33" s="13">
        <v>400</v>
      </c>
      <c r="G33" s="14">
        <v>7.0000000000000007E-2</v>
      </c>
      <c r="H33" s="14">
        <v>1.6E-2</v>
      </c>
      <c r="I33" s="16"/>
    </row>
    <row r="34" spans="1:9">
      <c r="A34" s="9" t="s">
        <v>35</v>
      </c>
      <c r="B34" s="7" t="s">
        <v>46</v>
      </c>
      <c r="C34" s="10" t="s">
        <v>48</v>
      </c>
      <c r="D34" s="11">
        <v>45859</v>
      </c>
      <c r="E34" s="12" t="str">
        <f t="shared" ca="1" si="0"/>
        <v>6 meses</v>
      </c>
      <c r="F34" s="13">
        <v>400</v>
      </c>
      <c r="G34" s="14">
        <v>2.8000000000000001E-2</v>
      </c>
      <c r="H34" s="14">
        <v>4.0000000000000001E-3</v>
      </c>
      <c r="I34" s="16"/>
    </row>
    <row r="35" spans="1:9">
      <c r="A35" s="17" t="s">
        <v>35</v>
      </c>
      <c r="B35" s="7" t="s">
        <v>54</v>
      </c>
      <c r="C35" s="18" t="s">
        <v>55</v>
      </c>
      <c r="D35" s="19">
        <v>45209</v>
      </c>
      <c r="E35" s="12" t="s">
        <v>56</v>
      </c>
      <c r="F35" s="13">
        <v>800</v>
      </c>
      <c r="G35" s="20">
        <v>0</v>
      </c>
      <c r="H35" s="20">
        <v>0</v>
      </c>
      <c r="I35" s="2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3EA22-AB48-4CD0-BAFD-27C54B6C8580}">
  <dimension ref="A1:I35"/>
  <sheetViews>
    <sheetView workbookViewId="0">
      <selection activeCell="A35" sqref="A35:I35"/>
    </sheetView>
  </sheetViews>
  <sheetFormatPr defaultRowHeight="15"/>
  <cols>
    <col min="1" max="1" width="18.7109375" bestFit="1" customWidth="1"/>
    <col min="2" max="2" width="35.85546875" bestFit="1" customWidth="1"/>
    <col min="3" max="3" width="9.85546875" bestFit="1" customWidth="1"/>
    <col min="4" max="4" width="13.85546875" bestFit="1" customWidth="1"/>
    <col min="5" max="5" width="11.85546875" bestFit="1" customWidth="1"/>
    <col min="6" max="6" width="15.5703125" bestFit="1" customWidth="1"/>
    <col min="7" max="7" width="10.42578125" bestFit="1" customWidth="1"/>
    <col min="8" max="8" width="8.140625" bestFit="1" customWidth="1"/>
    <col min="9" max="9" width="18.28515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</row>
    <row r="2" spans="1:9">
      <c r="A2" s="6" t="s">
        <v>9</v>
      </c>
      <c r="B2" s="7" t="s">
        <v>10</v>
      </c>
      <c r="C2" s="10" t="s">
        <v>47</v>
      </c>
      <c r="D2" s="11">
        <v>45587</v>
      </c>
      <c r="E2" s="12" t="str">
        <f ca="1">IFERROR(IF(INT((TODAY()-D2)/365)&gt;=1, INT((TODAY()-D2)/365) &amp; " " &amp; IF(INT((TODAY()-D2)/365)=1,"ano","anos"), INT((TODAY()-D2)/30) &amp; " " &amp; IF(INT((TODAY()-D2)/30)=1,"mês","meses")), "")</f>
        <v>1 ano</v>
      </c>
      <c r="F2" s="13">
        <v>0</v>
      </c>
      <c r="G2" s="15">
        <v>0</v>
      </c>
      <c r="H2" s="15">
        <v>0</v>
      </c>
      <c r="I2" s="16" t="s">
        <v>52</v>
      </c>
    </row>
    <row r="3" spans="1:9">
      <c r="A3" s="6" t="s">
        <v>9</v>
      </c>
      <c r="B3" s="7" t="s">
        <v>11</v>
      </c>
      <c r="C3" s="10" t="s">
        <v>48</v>
      </c>
      <c r="D3" s="11">
        <v>45343</v>
      </c>
      <c r="E3" s="12" t="str">
        <f t="shared" ref="E3:E34" ca="1" si="0">IFERROR(IF(INT((TODAY()-D3)/365)&gt;=1, INT((TODAY()-D3)/365) &amp; " " &amp; IF(INT((TODAY()-D3)/365)=1,"ano","anos"), INT((TODAY()-D3)/30) &amp; " " &amp; IF(INT((TODAY()-D3)/30)=1,"mês","meses")), "")</f>
        <v>1 ano</v>
      </c>
      <c r="F3" s="13">
        <v>400</v>
      </c>
      <c r="G3" s="15">
        <v>9.8000000000000004E-2</v>
      </c>
      <c r="H3" s="15">
        <v>3.9E-2</v>
      </c>
      <c r="I3" s="16"/>
    </row>
    <row r="4" spans="1:9">
      <c r="A4" s="6" t="s">
        <v>9</v>
      </c>
      <c r="B4" s="7" t="s">
        <v>12</v>
      </c>
      <c r="C4" s="10" t="s">
        <v>47</v>
      </c>
      <c r="D4" s="11">
        <v>45173</v>
      </c>
      <c r="E4" s="12" t="str">
        <f t="shared" ca="1" si="0"/>
        <v>2 anos</v>
      </c>
      <c r="F4" s="13">
        <v>350</v>
      </c>
      <c r="G4" s="15">
        <v>0</v>
      </c>
      <c r="H4" s="15">
        <v>0</v>
      </c>
      <c r="I4" s="16"/>
    </row>
    <row r="5" spans="1:9">
      <c r="A5" s="6" t="s">
        <v>9</v>
      </c>
      <c r="B5" s="7" t="s">
        <v>13</v>
      </c>
      <c r="C5" s="10" t="s">
        <v>48</v>
      </c>
      <c r="D5" s="11">
        <v>45180</v>
      </c>
      <c r="E5" s="12" t="str">
        <f t="shared" ca="1" si="0"/>
        <v>2 anos</v>
      </c>
      <c r="F5" s="13">
        <v>400</v>
      </c>
      <c r="G5" s="15">
        <v>0.01</v>
      </c>
      <c r="H5" s="15">
        <v>7.0000000000000001E-3</v>
      </c>
      <c r="I5" s="16"/>
    </row>
    <row r="6" spans="1:9">
      <c r="A6" s="6" t="s">
        <v>9</v>
      </c>
      <c r="B6" s="7" t="s">
        <v>14</v>
      </c>
      <c r="C6" s="10" t="s">
        <v>48</v>
      </c>
      <c r="D6" s="11">
        <v>45343</v>
      </c>
      <c r="E6" s="12" t="str">
        <f t="shared" ca="1" si="0"/>
        <v>1 ano</v>
      </c>
      <c r="F6" s="13">
        <v>400</v>
      </c>
      <c r="G6" s="15">
        <v>0.05</v>
      </c>
      <c r="H6" s="15">
        <v>1.7999999999999999E-2</v>
      </c>
      <c r="I6" s="16"/>
    </row>
    <row r="7" spans="1:9">
      <c r="A7" s="6" t="s">
        <v>9</v>
      </c>
      <c r="B7" s="7" t="s">
        <v>15</v>
      </c>
      <c r="C7" s="10" t="s">
        <v>48</v>
      </c>
      <c r="D7" s="11">
        <v>45432</v>
      </c>
      <c r="E7" s="12" t="str">
        <f t="shared" ca="1" si="0"/>
        <v>1 ano</v>
      </c>
      <c r="F7" s="13">
        <v>400</v>
      </c>
      <c r="G7" s="15">
        <v>1.4999999999999999E-2</v>
      </c>
      <c r="H7" s="15">
        <v>0</v>
      </c>
      <c r="I7" s="16"/>
    </row>
    <row r="8" spans="1:9">
      <c r="A8" s="6" t="s">
        <v>9</v>
      </c>
      <c r="B8" s="7" t="s">
        <v>16</v>
      </c>
      <c r="C8" s="10" t="s">
        <v>48</v>
      </c>
      <c r="D8" s="11">
        <v>45173</v>
      </c>
      <c r="E8" s="12" t="str">
        <f t="shared" ca="1" si="0"/>
        <v>2 anos</v>
      </c>
      <c r="F8" s="13">
        <v>400</v>
      </c>
      <c r="G8" s="15">
        <v>4.5999999999999999E-2</v>
      </c>
      <c r="H8" s="15">
        <v>5.0000000000000001E-3</v>
      </c>
      <c r="I8" s="16"/>
    </row>
    <row r="9" spans="1:9">
      <c r="A9" s="6" t="s">
        <v>9</v>
      </c>
      <c r="B9" s="7" t="s">
        <v>17</v>
      </c>
      <c r="C9" s="10" t="s">
        <v>48</v>
      </c>
      <c r="D9" s="11">
        <v>45315</v>
      </c>
      <c r="E9" s="12" t="str">
        <f t="shared" ca="1" si="0"/>
        <v>1 ano</v>
      </c>
      <c r="F9" s="13">
        <v>400</v>
      </c>
      <c r="G9" s="15">
        <v>2.9000000000000001E-2</v>
      </c>
      <c r="H9" s="15">
        <v>7.0000000000000001E-3</v>
      </c>
      <c r="I9" s="16"/>
    </row>
    <row r="10" spans="1:9">
      <c r="A10" s="6" t="s">
        <v>9</v>
      </c>
      <c r="B10" s="7" t="s">
        <v>18</v>
      </c>
      <c r="C10" s="10" t="s">
        <v>48</v>
      </c>
      <c r="D10" s="11">
        <v>45371</v>
      </c>
      <c r="E10" s="12" t="str">
        <f t="shared" ca="1" si="0"/>
        <v>1 ano</v>
      </c>
      <c r="F10" s="13">
        <v>400</v>
      </c>
      <c r="G10" s="15">
        <v>6.2E-2</v>
      </c>
      <c r="H10" s="15">
        <v>1.7000000000000001E-2</v>
      </c>
      <c r="I10" s="16"/>
    </row>
    <row r="11" spans="1:9">
      <c r="A11" s="6" t="s">
        <v>9</v>
      </c>
      <c r="B11" s="7" t="s">
        <v>19</v>
      </c>
      <c r="C11" s="10" t="s">
        <v>48</v>
      </c>
      <c r="D11" s="11">
        <v>45173</v>
      </c>
      <c r="E11" s="12" t="str">
        <f t="shared" ca="1" si="0"/>
        <v>2 anos</v>
      </c>
      <c r="F11" s="13">
        <v>400</v>
      </c>
      <c r="G11" s="15">
        <v>7.4999999999999997E-2</v>
      </c>
      <c r="H11" s="15">
        <v>2.4E-2</v>
      </c>
      <c r="I11" s="16"/>
    </row>
    <row r="12" spans="1:9">
      <c r="A12" s="6" t="s">
        <v>9</v>
      </c>
      <c r="B12" s="7" t="s">
        <v>20</v>
      </c>
      <c r="C12" s="10" t="s">
        <v>49</v>
      </c>
      <c r="D12" s="11">
        <v>45660</v>
      </c>
      <c r="E12" s="12" t="str">
        <f t="shared" ca="1" si="0"/>
        <v>1 ano</v>
      </c>
      <c r="F12" s="13">
        <v>350</v>
      </c>
      <c r="G12" s="15">
        <v>0</v>
      </c>
      <c r="H12" s="15">
        <v>0</v>
      </c>
      <c r="I12" s="16"/>
    </row>
    <row r="13" spans="1:9">
      <c r="A13" s="6" t="s">
        <v>9</v>
      </c>
      <c r="B13" s="7" t="s">
        <v>21</v>
      </c>
      <c r="C13" s="10" t="s">
        <v>48</v>
      </c>
      <c r="D13" s="11">
        <v>45173</v>
      </c>
      <c r="E13" s="12" t="str">
        <f t="shared" ca="1" si="0"/>
        <v>2 anos</v>
      </c>
      <c r="F13" s="13">
        <v>400</v>
      </c>
      <c r="G13" s="15">
        <v>1.2999999999999999E-2</v>
      </c>
      <c r="H13" s="15">
        <v>0</v>
      </c>
      <c r="I13" s="16"/>
    </row>
    <row r="14" spans="1:9">
      <c r="A14" s="6" t="s">
        <v>22</v>
      </c>
      <c r="B14" s="7" t="s">
        <v>23</v>
      </c>
      <c r="C14" s="10" t="s">
        <v>48</v>
      </c>
      <c r="D14" s="11">
        <v>45343</v>
      </c>
      <c r="E14" s="12" t="str">
        <f t="shared" ca="1" si="0"/>
        <v>1 ano</v>
      </c>
      <c r="F14" s="13">
        <v>400</v>
      </c>
      <c r="G14" s="15">
        <v>3.3000000000000002E-2</v>
      </c>
      <c r="H14" s="15">
        <v>1.7000000000000001E-2</v>
      </c>
      <c r="I14" s="16"/>
    </row>
    <row r="15" spans="1:9">
      <c r="A15" s="6" t="s">
        <v>22</v>
      </c>
      <c r="B15" s="7" t="s">
        <v>24</v>
      </c>
      <c r="C15" s="10" t="s">
        <v>48</v>
      </c>
      <c r="D15" s="11">
        <v>45932</v>
      </c>
      <c r="E15" s="12" t="str">
        <f t="shared" ca="1" si="0"/>
        <v>3 meses</v>
      </c>
      <c r="F15" s="13">
        <v>0</v>
      </c>
      <c r="G15" s="15">
        <v>0.109</v>
      </c>
      <c r="H15" s="15">
        <v>4.7E-2</v>
      </c>
      <c r="I15" s="16" t="s">
        <v>51</v>
      </c>
    </row>
    <row r="16" spans="1:9">
      <c r="A16" s="6" t="s">
        <v>9</v>
      </c>
      <c r="B16" s="7" t="s">
        <v>25</v>
      </c>
      <c r="C16" s="10" t="s">
        <v>48</v>
      </c>
      <c r="D16" s="11">
        <v>45733</v>
      </c>
      <c r="E16" s="12" t="str">
        <f t="shared" ca="1" si="0"/>
        <v>10 meses</v>
      </c>
      <c r="F16" s="13">
        <v>400</v>
      </c>
      <c r="G16" s="15">
        <v>0.06</v>
      </c>
      <c r="H16" s="15">
        <v>3.2000000000000001E-2</v>
      </c>
      <c r="I16" s="16"/>
    </row>
    <row r="17" spans="1:9">
      <c r="A17" s="8" t="s">
        <v>26</v>
      </c>
      <c r="B17" s="7" t="s">
        <v>27</v>
      </c>
      <c r="C17" s="10" t="s">
        <v>48</v>
      </c>
      <c r="D17" s="11">
        <v>45587</v>
      </c>
      <c r="E17" s="12" t="str">
        <f t="shared" ca="1" si="0"/>
        <v>1 ano</v>
      </c>
      <c r="F17" s="13">
        <v>400</v>
      </c>
      <c r="G17" s="15">
        <v>3.4000000000000002E-2</v>
      </c>
      <c r="H17" s="15">
        <v>1.4999999999999999E-2</v>
      </c>
      <c r="I17" s="16"/>
    </row>
    <row r="18" spans="1:9">
      <c r="A18" s="8" t="s">
        <v>26</v>
      </c>
      <c r="B18" s="7" t="s">
        <v>28</v>
      </c>
      <c r="C18" s="10" t="s">
        <v>48</v>
      </c>
      <c r="D18" s="11">
        <v>45931</v>
      </c>
      <c r="E18" s="12" t="str">
        <f t="shared" ca="1" si="0"/>
        <v>3 meses</v>
      </c>
      <c r="F18" s="13">
        <v>0</v>
      </c>
      <c r="G18" s="15">
        <v>9.8000000000000004E-2</v>
      </c>
      <c r="H18" s="15">
        <v>4.2999999999999997E-2</v>
      </c>
      <c r="I18" s="16" t="s">
        <v>51</v>
      </c>
    </row>
    <row r="19" spans="1:9">
      <c r="A19" s="8" t="s">
        <v>26</v>
      </c>
      <c r="B19" s="7" t="s">
        <v>29</v>
      </c>
      <c r="C19" s="10" t="s">
        <v>48</v>
      </c>
      <c r="D19" s="11">
        <v>45810</v>
      </c>
      <c r="E19" s="12" t="str">
        <f t="shared" ca="1" si="0"/>
        <v>7 meses</v>
      </c>
      <c r="F19" s="13">
        <v>400</v>
      </c>
      <c r="G19" s="15">
        <v>0.16400000000000001</v>
      </c>
      <c r="H19" s="15">
        <v>6.0999999999999999E-2</v>
      </c>
      <c r="I19" s="16"/>
    </row>
    <row r="20" spans="1:9">
      <c r="A20" s="8" t="s">
        <v>30</v>
      </c>
      <c r="B20" s="7" t="s">
        <v>31</v>
      </c>
      <c r="C20" s="10" t="s">
        <v>48</v>
      </c>
      <c r="D20" s="11">
        <v>45173</v>
      </c>
      <c r="E20" s="12" t="str">
        <f t="shared" ca="1" si="0"/>
        <v>2 anos</v>
      </c>
      <c r="F20" s="13">
        <v>400</v>
      </c>
      <c r="G20" s="15">
        <v>0</v>
      </c>
      <c r="H20" s="15">
        <v>0</v>
      </c>
      <c r="I20" s="16"/>
    </row>
    <row r="21" spans="1:9">
      <c r="A21" s="8" t="s">
        <v>30</v>
      </c>
      <c r="B21" s="7" t="s">
        <v>32</v>
      </c>
      <c r="C21" s="10" t="s">
        <v>48</v>
      </c>
      <c r="D21" s="11">
        <v>45173</v>
      </c>
      <c r="E21" s="12" t="str">
        <f t="shared" ca="1" si="0"/>
        <v>2 anos</v>
      </c>
      <c r="F21" s="13">
        <v>0</v>
      </c>
      <c r="G21" s="15">
        <v>0</v>
      </c>
      <c r="H21" s="15">
        <v>0</v>
      </c>
      <c r="I21" s="16" t="s">
        <v>52</v>
      </c>
    </row>
    <row r="22" spans="1:9">
      <c r="A22" s="8" t="s">
        <v>30</v>
      </c>
      <c r="B22" s="7" t="s">
        <v>33</v>
      </c>
      <c r="C22" s="10" t="s">
        <v>48</v>
      </c>
      <c r="D22" s="11">
        <v>45938</v>
      </c>
      <c r="E22" s="12" t="str">
        <f t="shared" ca="1" si="0"/>
        <v>3 meses</v>
      </c>
      <c r="F22" s="13">
        <v>0</v>
      </c>
      <c r="G22" s="15">
        <v>0</v>
      </c>
      <c r="H22" s="15">
        <v>0</v>
      </c>
      <c r="I22" s="16" t="s">
        <v>51</v>
      </c>
    </row>
    <row r="23" spans="1:9">
      <c r="A23" s="8" t="s">
        <v>30</v>
      </c>
      <c r="B23" s="7" t="s">
        <v>34</v>
      </c>
      <c r="C23" s="10" t="s">
        <v>48</v>
      </c>
      <c r="D23" s="11">
        <v>45173</v>
      </c>
      <c r="E23" s="12" t="str">
        <f t="shared" ca="1" si="0"/>
        <v>2 anos</v>
      </c>
      <c r="F23" s="13">
        <v>400</v>
      </c>
      <c r="G23" s="15">
        <v>2.9000000000000001E-2</v>
      </c>
      <c r="H23" s="15">
        <v>2.1000000000000001E-2</v>
      </c>
      <c r="I23" s="16"/>
    </row>
    <row r="24" spans="1:9">
      <c r="A24" s="9" t="s">
        <v>35</v>
      </c>
      <c r="B24" s="7" t="s">
        <v>36</v>
      </c>
      <c r="C24" s="10" t="s">
        <v>49</v>
      </c>
      <c r="D24" s="11">
        <v>45209</v>
      </c>
      <c r="E24" s="12" t="str">
        <f t="shared" ca="1" si="0"/>
        <v>2 anos</v>
      </c>
      <c r="F24" s="13">
        <v>350</v>
      </c>
      <c r="G24" s="15">
        <v>0</v>
      </c>
      <c r="H24" s="15">
        <v>0</v>
      </c>
      <c r="I24" s="16"/>
    </row>
    <row r="25" spans="1:9">
      <c r="A25" s="9" t="s">
        <v>35</v>
      </c>
      <c r="B25" s="7" t="s">
        <v>37</v>
      </c>
      <c r="C25" s="10" t="s">
        <v>48</v>
      </c>
      <c r="D25" s="11">
        <v>45517</v>
      </c>
      <c r="E25" s="12" t="str">
        <f t="shared" ca="1" si="0"/>
        <v>1 ano</v>
      </c>
      <c r="F25" s="13">
        <v>0</v>
      </c>
      <c r="G25" s="15">
        <v>0</v>
      </c>
      <c r="H25" s="15">
        <v>0</v>
      </c>
      <c r="I25" s="16" t="s">
        <v>52</v>
      </c>
    </row>
    <row r="26" spans="1:9">
      <c r="A26" s="9" t="s">
        <v>35</v>
      </c>
      <c r="B26" s="7" t="s">
        <v>38</v>
      </c>
      <c r="C26" s="10" t="s">
        <v>47</v>
      </c>
      <c r="D26" s="11">
        <v>45621</v>
      </c>
      <c r="E26" s="12" t="str">
        <f t="shared" ca="1" si="0"/>
        <v>1 ano</v>
      </c>
      <c r="F26" s="13">
        <v>350</v>
      </c>
      <c r="G26" s="15">
        <v>0</v>
      </c>
      <c r="H26" s="15">
        <v>0</v>
      </c>
      <c r="I26" s="16"/>
    </row>
    <row r="27" spans="1:9">
      <c r="A27" s="9" t="s">
        <v>35</v>
      </c>
      <c r="B27" s="7" t="s">
        <v>39</v>
      </c>
      <c r="C27" s="10" t="s">
        <v>48</v>
      </c>
      <c r="D27" s="11">
        <v>45397</v>
      </c>
      <c r="E27" s="12" t="str">
        <f t="shared" ca="1" si="0"/>
        <v>1 ano</v>
      </c>
      <c r="F27" s="13">
        <v>400</v>
      </c>
      <c r="G27" s="15">
        <v>1.7000000000000001E-2</v>
      </c>
      <c r="H27" s="15">
        <v>0</v>
      </c>
      <c r="I27" s="16"/>
    </row>
    <row r="28" spans="1:9">
      <c r="A28" s="9" t="s">
        <v>35</v>
      </c>
      <c r="B28" s="7" t="s">
        <v>40</v>
      </c>
      <c r="C28" s="10" t="s">
        <v>48</v>
      </c>
      <c r="D28" s="11">
        <v>45628</v>
      </c>
      <c r="E28" s="12" t="str">
        <f t="shared" ca="1" si="0"/>
        <v>1 ano</v>
      </c>
      <c r="F28" s="13">
        <v>400</v>
      </c>
      <c r="G28" s="15">
        <v>4.1000000000000002E-2</v>
      </c>
      <c r="H28" s="15">
        <v>8.9999999999999993E-3</v>
      </c>
      <c r="I28" s="16"/>
    </row>
    <row r="29" spans="1:9">
      <c r="A29" s="9" t="s">
        <v>35</v>
      </c>
      <c r="B29" s="7" t="s">
        <v>41</v>
      </c>
      <c r="C29" s="10" t="s">
        <v>48</v>
      </c>
      <c r="D29" s="11">
        <v>45383</v>
      </c>
      <c r="E29" s="12" t="str">
        <f t="shared" ca="1" si="0"/>
        <v>1 ano</v>
      </c>
      <c r="F29" s="13">
        <v>400</v>
      </c>
      <c r="G29" s="15">
        <v>2.4E-2</v>
      </c>
      <c r="H29" s="15">
        <v>0.01</v>
      </c>
      <c r="I29" s="16"/>
    </row>
    <row r="30" spans="1:9">
      <c r="A30" s="9" t="s">
        <v>35</v>
      </c>
      <c r="B30" s="7" t="s">
        <v>42</v>
      </c>
      <c r="C30" s="10" t="s">
        <v>48</v>
      </c>
      <c r="D30" s="11">
        <v>45401</v>
      </c>
      <c r="E30" s="12" t="str">
        <f t="shared" ca="1" si="0"/>
        <v>1 ano</v>
      </c>
      <c r="F30" s="13">
        <v>400</v>
      </c>
      <c r="G30" s="15">
        <v>0.06</v>
      </c>
      <c r="H30" s="15">
        <v>2.5000000000000001E-2</v>
      </c>
      <c r="I30" s="16"/>
    </row>
    <row r="31" spans="1:9">
      <c r="A31" s="9" t="s">
        <v>35</v>
      </c>
      <c r="B31" s="7" t="s">
        <v>43</v>
      </c>
      <c r="C31" s="10" t="s">
        <v>47</v>
      </c>
      <c r="D31" s="11">
        <v>45209</v>
      </c>
      <c r="E31" s="12" t="str">
        <f t="shared" ca="1" si="0"/>
        <v>2 anos</v>
      </c>
      <c r="F31" s="13">
        <v>0</v>
      </c>
      <c r="G31" s="15">
        <v>0</v>
      </c>
      <c r="H31" s="15">
        <v>0</v>
      </c>
      <c r="I31" s="16" t="s">
        <v>52</v>
      </c>
    </row>
    <row r="32" spans="1:9">
      <c r="A32" s="9" t="s">
        <v>35</v>
      </c>
      <c r="B32" s="7" t="s">
        <v>44</v>
      </c>
      <c r="C32" s="10" t="s">
        <v>48</v>
      </c>
      <c r="D32" s="11">
        <v>45566</v>
      </c>
      <c r="E32" s="12" t="str">
        <f t="shared" ca="1" si="0"/>
        <v>1 ano</v>
      </c>
      <c r="F32" s="13">
        <v>400</v>
      </c>
      <c r="G32" s="15">
        <v>5.1999999999999998E-2</v>
      </c>
      <c r="H32" s="15">
        <v>2.8000000000000001E-2</v>
      </c>
      <c r="I32" s="16"/>
    </row>
    <row r="33" spans="1:9">
      <c r="A33" s="9" t="s">
        <v>35</v>
      </c>
      <c r="B33" s="7" t="s">
        <v>45</v>
      </c>
      <c r="C33" s="10" t="s">
        <v>48</v>
      </c>
      <c r="D33" s="11">
        <v>45852</v>
      </c>
      <c r="E33" s="12" t="str">
        <f t="shared" ca="1" si="0"/>
        <v>6 meses</v>
      </c>
      <c r="F33" s="13">
        <v>400</v>
      </c>
      <c r="G33" s="15">
        <v>2.5000000000000001E-2</v>
      </c>
      <c r="H33" s="15">
        <v>4.0000000000000001E-3</v>
      </c>
      <c r="I33" s="16"/>
    </row>
    <row r="34" spans="1:9">
      <c r="A34" s="9" t="s">
        <v>35</v>
      </c>
      <c r="B34" s="7" t="s">
        <v>46</v>
      </c>
      <c r="C34" s="10" t="s">
        <v>48</v>
      </c>
      <c r="D34" s="11">
        <v>45859</v>
      </c>
      <c r="E34" s="12" t="str">
        <f t="shared" ca="1" si="0"/>
        <v>6 meses</v>
      </c>
      <c r="F34" s="13">
        <v>400</v>
      </c>
      <c r="G34" s="15">
        <v>3.4000000000000002E-2</v>
      </c>
      <c r="H34" s="15">
        <v>4.0000000000000001E-3</v>
      </c>
      <c r="I34" s="16"/>
    </row>
    <row r="35" spans="1:9">
      <c r="A35" s="17" t="s">
        <v>35</v>
      </c>
      <c r="B35" s="7" t="s">
        <v>54</v>
      </c>
      <c r="C35" s="18" t="s">
        <v>55</v>
      </c>
      <c r="D35" s="19">
        <v>45209</v>
      </c>
      <c r="E35" s="12" t="s">
        <v>56</v>
      </c>
      <c r="F35" s="13">
        <v>800</v>
      </c>
      <c r="G35" s="20">
        <v>0</v>
      </c>
      <c r="H35" s="20">
        <v>0</v>
      </c>
      <c r="I35" s="2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2D346-5C2E-4EBB-A550-A85D17EE3A95}">
  <dimension ref="A1:I35"/>
  <sheetViews>
    <sheetView workbookViewId="0">
      <selection activeCell="A35" sqref="A35:I35"/>
    </sheetView>
  </sheetViews>
  <sheetFormatPr defaultRowHeight="15"/>
  <cols>
    <col min="1" max="1" width="18.7109375" bestFit="1" customWidth="1"/>
    <col min="2" max="2" width="35.85546875" bestFit="1" customWidth="1"/>
    <col min="3" max="3" width="9.85546875" bestFit="1" customWidth="1"/>
    <col min="4" max="4" width="13.85546875" bestFit="1" customWidth="1"/>
    <col min="5" max="5" width="11.85546875" bestFit="1" customWidth="1"/>
    <col min="6" max="6" width="15.5703125" bestFit="1" customWidth="1"/>
    <col min="7" max="7" width="10.42578125" bestFit="1" customWidth="1"/>
    <col min="8" max="8" width="8.140625" bestFit="1" customWidth="1"/>
    <col min="9" max="9" width="18.28515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</row>
    <row r="2" spans="1:9">
      <c r="A2" s="6" t="s">
        <v>9</v>
      </c>
      <c r="B2" s="7" t="s">
        <v>10</v>
      </c>
      <c r="C2" s="10" t="s">
        <v>47</v>
      </c>
      <c r="D2" s="11">
        <v>45587</v>
      </c>
      <c r="E2" s="12" t="str">
        <f ca="1">IFERROR(IF(INT((TODAY()-D2)/365)&gt;=1, INT((TODAY()-D2)/365) &amp; " " &amp; IF(INT((TODAY()-D2)/365)=1,"ano","anos"), INT((TODAY()-D2)/30) &amp; " " &amp; IF(INT((TODAY()-D2)/30)=1,"mês","meses")), "")</f>
        <v>1 ano</v>
      </c>
      <c r="F2" s="13">
        <v>350</v>
      </c>
      <c r="G2" s="15">
        <v>0</v>
      </c>
      <c r="H2" s="15">
        <v>0</v>
      </c>
      <c r="I2" s="16"/>
    </row>
    <row r="3" spans="1:9">
      <c r="A3" s="6" t="s">
        <v>9</v>
      </c>
      <c r="B3" s="7" t="s">
        <v>11</v>
      </c>
      <c r="C3" s="10" t="s">
        <v>48</v>
      </c>
      <c r="D3" s="11">
        <v>45343</v>
      </c>
      <c r="E3" s="12" t="str">
        <f t="shared" ref="E3:E34" ca="1" si="0">IFERROR(IF(INT((TODAY()-D3)/365)&gt;=1, INT((TODAY()-D3)/365) &amp; " " &amp; IF(INT((TODAY()-D3)/365)=1,"ano","anos"), INT((TODAY()-D3)/30) &amp; " " &amp; IF(INT((TODAY()-D3)/30)=1,"mês","meses")), "")</f>
        <v>1 ano</v>
      </c>
      <c r="F3" s="13">
        <v>400</v>
      </c>
      <c r="G3" s="15">
        <v>1.4E-2</v>
      </c>
      <c r="H3" s="15">
        <v>1.4E-2</v>
      </c>
      <c r="I3" s="16"/>
    </row>
    <row r="4" spans="1:9">
      <c r="A4" s="6" t="s">
        <v>9</v>
      </c>
      <c r="B4" s="7" t="s">
        <v>12</v>
      </c>
      <c r="C4" s="10" t="s">
        <v>47</v>
      </c>
      <c r="D4" s="11">
        <v>45173</v>
      </c>
      <c r="E4" s="12" t="str">
        <f t="shared" ca="1" si="0"/>
        <v>2 anos</v>
      </c>
      <c r="F4" s="13">
        <v>350</v>
      </c>
      <c r="G4" s="15">
        <v>0</v>
      </c>
      <c r="H4" s="15">
        <v>0</v>
      </c>
      <c r="I4" s="16"/>
    </row>
    <row r="5" spans="1:9">
      <c r="A5" s="6" t="s">
        <v>9</v>
      </c>
      <c r="B5" s="7" t="s">
        <v>13</v>
      </c>
      <c r="C5" s="10" t="s">
        <v>48</v>
      </c>
      <c r="D5" s="11">
        <v>45180</v>
      </c>
      <c r="E5" s="12" t="str">
        <f t="shared" ca="1" si="0"/>
        <v>2 anos</v>
      </c>
      <c r="F5" s="13">
        <v>400</v>
      </c>
      <c r="G5" s="15">
        <v>8.9999999999999993E-3</v>
      </c>
      <c r="H5" s="15">
        <v>3.0000000000000001E-3</v>
      </c>
      <c r="I5" s="16"/>
    </row>
    <row r="6" spans="1:9">
      <c r="A6" s="6" t="s">
        <v>9</v>
      </c>
      <c r="B6" s="7" t="s">
        <v>14</v>
      </c>
      <c r="C6" s="10" t="s">
        <v>48</v>
      </c>
      <c r="D6" s="11">
        <v>45343</v>
      </c>
      <c r="E6" s="12" t="str">
        <f t="shared" ca="1" si="0"/>
        <v>1 ano</v>
      </c>
      <c r="F6" s="13">
        <v>400</v>
      </c>
      <c r="G6" s="15">
        <v>3.1E-2</v>
      </c>
      <c r="H6" s="15">
        <v>0.01</v>
      </c>
      <c r="I6" s="16"/>
    </row>
    <row r="7" spans="1:9">
      <c r="A7" s="6" t="s">
        <v>9</v>
      </c>
      <c r="B7" s="7" t="s">
        <v>15</v>
      </c>
      <c r="C7" s="10" t="s">
        <v>48</v>
      </c>
      <c r="D7" s="11">
        <v>45432</v>
      </c>
      <c r="E7" s="12" t="str">
        <f t="shared" ca="1" si="0"/>
        <v>1 ano</v>
      </c>
      <c r="F7" s="13">
        <v>400</v>
      </c>
      <c r="G7" s="15">
        <v>3.1E-2</v>
      </c>
      <c r="H7" s="15">
        <v>1.2E-2</v>
      </c>
      <c r="I7" s="16"/>
    </row>
    <row r="8" spans="1:9">
      <c r="A8" s="6" t="s">
        <v>9</v>
      </c>
      <c r="B8" s="7" t="s">
        <v>16</v>
      </c>
      <c r="C8" s="10" t="s">
        <v>48</v>
      </c>
      <c r="D8" s="11">
        <v>45173</v>
      </c>
      <c r="E8" s="12" t="str">
        <f t="shared" ca="1" si="0"/>
        <v>2 anos</v>
      </c>
      <c r="F8" s="13">
        <v>400</v>
      </c>
      <c r="G8" s="15">
        <v>6.0999999999999999E-2</v>
      </c>
      <c r="H8" s="15">
        <v>1.2E-2</v>
      </c>
      <c r="I8" s="16"/>
    </row>
    <row r="9" spans="1:9">
      <c r="A9" s="6" t="s">
        <v>9</v>
      </c>
      <c r="B9" s="7" t="s">
        <v>17</v>
      </c>
      <c r="C9" s="10" t="s">
        <v>48</v>
      </c>
      <c r="D9" s="11">
        <v>45315</v>
      </c>
      <c r="E9" s="12" t="str">
        <f t="shared" ca="1" si="0"/>
        <v>1 ano</v>
      </c>
      <c r="F9" s="13">
        <v>400</v>
      </c>
      <c r="G9" s="15">
        <v>0.01</v>
      </c>
      <c r="H9" s="15">
        <v>7.0000000000000001E-3</v>
      </c>
      <c r="I9" s="16"/>
    </row>
    <row r="10" spans="1:9">
      <c r="A10" s="6" t="s">
        <v>9</v>
      </c>
      <c r="B10" s="7" t="s">
        <v>18</v>
      </c>
      <c r="C10" s="10" t="s">
        <v>48</v>
      </c>
      <c r="D10" s="11">
        <v>45371</v>
      </c>
      <c r="E10" s="12" t="str">
        <f t="shared" ca="1" si="0"/>
        <v>1 ano</v>
      </c>
      <c r="F10" s="13">
        <v>400</v>
      </c>
      <c r="G10" s="15">
        <v>4.9000000000000002E-2</v>
      </c>
      <c r="H10" s="15">
        <v>7.0000000000000001E-3</v>
      </c>
      <c r="I10" s="16"/>
    </row>
    <row r="11" spans="1:9">
      <c r="A11" s="6" t="s">
        <v>9</v>
      </c>
      <c r="B11" s="7" t="s">
        <v>19</v>
      </c>
      <c r="C11" s="10" t="s">
        <v>48</v>
      </c>
      <c r="D11" s="11">
        <v>45173</v>
      </c>
      <c r="E11" s="12" t="str">
        <f t="shared" ca="1" si="0"/>
        <v>2 anos</v>
      </c>
      <c r="F11" s="13">
        <v>0</v>
      </c>
      <c r="G11" s="15">
        <v>0</v>
      </c>
      <c r="H11" s="15">
        <v>0</v>
      </c>
      <c r="I11" s="16" t="s">
        <v>50</v>
      </c>
    </row>
    <row r="12" spans="1:9">
      <c r="A12" s="6" t="s">
        <v>9</v>
      </c>
      <c r="B12" s="7" t="s">
        <v>20</v>
      </c>
      <c r="C12" s="10" t="s">
        <v>49</v>
      </c>
      <c r="D12" s="11">
        <v>45660</v>
      </c>
      <c r="E12" s="12" t="str">
        <f t="shared" ca="1" si="0"/>
        <v>1 ano</v>
      </c>
      <c r="F12" s="13">
        <v>350</v>
      </c>
      <c r="G12" s="15">
        <v>0</v>
      </c>
      <c r="H12" s="15">
        <v>0</v>
      </c>
      <c r="I12" s="16"/>
    </row>
    <row r="13" spans="1:9">
      <c r="A13" s="6" t="s">
        <v>9</v>
      </c>
      <c r="B13" s="7" t="s">
        <v>21</v>
      </c>
      <c r="C13" s="10" t="s">
        <v>48</v>
      </c>
      <c r="D13" s="11">
        <v>45173</v>
      </c>
      <c r="E13" s="12" t="str">
        <f t="shared" ca="1" si="0"/>
        <v>2 anos</v>
      </c>
      <c r="F13" s="13">
        <v>400</v>
      </c>
      <c r="G13" s="15">
        <v>7.2999999999999995E-2</v>
      </c>
      <c r="H13" s="15">
        <v>1.6E-2</v>
      </c>
      <c r="I13" s="16"/>
    </row>
    <row r="14" spans="1:9">
      <c r="A14" s="6" t="s">
        <v>22</v>
      </c>
      <c r="B14" s="7" t="s">
        <v>23</v>
      </c>
      <c r="C14" s="10" t="s">
        <v>48</v>
      </c>
      <c r="D14" s="11">
        <v>45343</v>
      </c>
      <c r="E14" s="12" t="str">
        <f t="shared" ca="1" si="0"/>
        <v>1 ano</v>
      </c>
      <c r="F14" s="13">
        <v>400</v>
      </c>
      <c r="G14" s="15">
        <v>1.7999999999999999E-2</v>
      </c>
      <c r="H14" s="15">
        <v>8.9999999999999993E-3</v>
      </c>
      <c r="I14" s="16"/>
    </row>
    <row r="15" spans="1:9">
      <c r="A15" s="6" t="s">
        <v>22</v>
      </c>
      <c r="B15" s="7" t="s">
        <v>24</v>
      </c>
      <c r="C15" s="10" t="s">
        <v>48</v>
      </c>
      <c r="D15" s="11">
        <v>45932</v>
      </c>
      <c r="E15" s="12" t="str">
        <f t="shared" ca="1" si="0"/>
        <v>3 meses</v>
      </c>
      <c r="F15" s="13">
        <v>0</v>
      </c>
      <c r="G15" s="15">
        <v>5.2999999999999999E-2</v>
      </c>
      <c r="H15" s="15">
        <v>6.0000000000000001E-3</v>
      </c>
      <c r="I15" s="16" t="s">
        <v>51</v>
      </c>
    </row>
    <row r="16" spans="1:9">
      <c r="A16" s="6" t="s">
        <v>9</v>
      </c>
      <c r="B16" s="7" t="s">
        <v>25</v>
      </c>
      <c r="C16" s="10" t="s">
        <v>48</v>
      </c>
      <c r="D16" s="11">
        <v>45733</v>
      </c>
      <c r="E16" s="12" t="str">
        <f t="shared" ca="1" si="0"/>
        <v>10 meses</v>
      </c>
      <c r="F16" s="13">
        <v>400</v>
      </c>
      <c r="G16" s="15">
        <v>0.02</v>
      </c>
      <c r="H16" s="15">
        <v>7.0000000000000001E-3</v>
      </c>
      <c r="I16" s="16"/>
    </row>
    <row r="17" spans="1:9">
      <c r="A17" s="8" t="s">
        <v>26</v>
      </c>
      <c r="B17" s="7" t="s">
        <v>27</v>
      </c>
      <c r="C17" s="10" t="s">
        <v>48</v>
      </c>
      <c r="D17" s="11">
        <v>45587</v>
      </c>
      <c r="E17" s="12" t="str">
        <f t="shared" ca="1" si="0"/>
        <v>1 ano</v>
      </c>
      <c r="F17" s="13">
        <v>400</v>
      </c>
      <c r="G17" s="15">
        <v>3.5000000000000003E-2</v>
      </c>
      <c r="H17" s="15">
        <v>5.0000000000000001E-3</v>
      </c>
      <c r="I17" s="16"/>
    </row>
    <row r="18" spans="1:9">
      <c r="A18" s="8" t="s">
        <v>26</v>
      </c>
      <c r="B18" s="7" t="s">
        <v>28</v>
      </c>
      <c r="C18" s="10" t="s">
        <v>48</v>
      </c>
      <c r="D18" s="11">
        <v>45931</v>
      </c>
      <c r="E18" s="12" t="str">
        <f t="shared" ca="1" si="0"/>
        <v>3 meses</v>
      </c>
      <c r="F18" s="13">
        <v>0</v>
      </c>
      <c r="G18" s="15">
        <v>9.8000000000000004E-2</v>
      </c>
      <c r="H18" s="15">
        <v>2.3E-2</v>
      </c>
      <c r="I18" s="16" t="s">
        <v>51</v>
      </c>
    </row>
    <row r="19" spans="1:9">
      <c r="A19" s="8" t="s">
        <v>26</v>
      </c>
      <c r="B19" s="7" t="s">
        <v>29</v>
      </c>
      <c r="C19" s="10" t="s">
        <v>48</v>
      </c>
      <c r="D19" s="11">
        <v>45810</v>
      </c>
      <c r="E19" s="12" t="str">
        <f t="shared" ca="1" si="0"/>
        <v>7 meses</v>
      </c>
      <c r="F19" s="13">
        <v>400</v>
      </c>
      <c r="G19" s="15">
        <v>9.1999999999999998E-2</v>
      </c>
      <c r="H19" s="15">
        <v>4.9000000000000002E-2</v>
      </c>
      <c r="I19" s="16"/>
    </row>
    <row r="20" spans="1:9">
      <c r="A20" s="8" t="s">
        <v>30</v>
      </c>
      <c r="B20" s="7" t="s">
        <v>31</v>
      </c>
      <c r="C20" s="10" t="s">
        <v>48</v>
      </c>
      <c r="D20" s="11">
        <v>45173</v>
      </c>
      <c r="E20" s="12" t="str">
        <f t="shared" ca="1" si="0"/>
        <v>2 anos</v>
      </c>
      <c r="F20" s="13">
        <v>400</v>
      </c>
      <c r="G20" s="15">
        <v>0</v>
      </c>
      <c r="H20" s="15">
        <v>0</v>
      </c>
      <c r="I20" s="16"/>
    </row>
    <row r="21" spans="1:9">
      <c r="A21" s="8" t="s">
        <v>30</v>
      </c>
      <c r="B21" s="7" t="s">
        <v>32</v>
      </c>
      <c r="C21" s="10" t="s">
        <v>48</v>
      </c>
      <c r="D21" s="11">
        <v>45173</v>
      </c>
      <c r="E21" s="12" t="str">
        <f t="shared" ca="1" si="0"/>
        <v>2 anos</v>
      </c>
      <c r="F21" s="13">
        <v>400</v>
      </c>
      <c r="G21" s="15">
        <v>0.05</v>
      </c>
      <c r="H21" s="15">
        <v>0</v>
      </c>
      <c r="I21" s="16"/>
    </row>
    <row r="22" spans="1:9">
      <c r="A22" s="8" t="s">
        <v>30</v>
      </c>
      <c r="B22" s="7" t="s">
        <v>33</v>
      </c>
      <c r="C22" s="10" t="s">
        <v>48</v>
      </c>
      <c r="D22" s="11">
        <v>45938</v>
      </c>
      <c r="E22" s="12" t="str">
        <f t="shared" ca="1" si="0"/>
        <v>3 meses</v>
      </c>
      <c r="F22" s="13">
        <v>0</v>
      </c>
      <c r="G22" s="15">
        <v>0</v>
      </c>
      <c r="H22" s="15">
        <v>0</v>
      </c>
      <c r="I22" s="16" t="s">
        <v>51</v>
      </c>
    </row>
    <row r="23" spans="1:9">
      <c r="A23" s="8" t="s">
        <v>30</v>
      </c>
      <c r="B23" s="7" t="s">
        <v>34</v>
      </c>
      <c r="C23" s="10" t="s">
        <v>48</v>
      </c>
      <c r="D23" s="11">
        <v>45173</v>
      </c>
      <c r="E23" s="12" t="str">
        <f t="shared" ca="1" si="0"/>
        <v>2 anos</v>
      </c>
      <c r="F23" s="13">
        <v>0</v>
      </c>
      <c r="G23" s="15">
        <v>3.2000000000000001E-2</v>
      </c>
      <c r="H23" s="15">
        <v>0</v>
      </c>
      <c r="I23" s="16" t="s">
        <v>50</v>
      </c>
    </row>
    <row r="24" spans="1:9">
      <c r="A24" s="9" t="s">
        <v>35</v>
      </c>
      <c r="B24" s="7" t="s">
        <v>36</v>
      </c>
      <c r="C24" s="10" t="s">
        <v>49</v>
      </c>
      <c r="D24" s="11">
        <v>45209</v>
      </c>
      <c r="E24" s="12" t="str">
        <f t="shared" ca="1" si="0"/>
        <v>2 anos</v>
      </c>
      <c r="F24" s="13">
        <v>350</v>
      </c>
      <c r="G24" s="15">
        <v>0</v>
      </c>
      <c r="H24" s="15">
        <v>0</v>
      </c>
      <c r="I24" s="16"/>
    </row>
    <row r="25" spans="1:9">
      <c r="A25" s="9" t="s">
        <v>35</v>
      </c>
      <c r="B25" s="7" t="s">
        <v>37</v>
      </c>
      <c r="C25" s="10" t="s">
        <v>48</v>
      </c>
      <c r="D25" s="11">
        <v>45517</v>
      </c>
      <c r="E25" s="12" t="str">
        <f t="shared" ca="1" si="0"/>
        <v>1 ano</v>
      </c>
      <c r="F25" s="13">
        <v>400</v>
      </c>
      <c r="G25" s="15">
        <v>0.05</v>
      </c>
      <c r="H25" s="15">
        <v>1.2999999999999999E-2</v>
      </c>
      <c r="I25" s="16"/>
    </row>
    <row r="26" spans="1:9">
      <c r="A26" s="9" t="s">
        <v>35</v>
      </c>
      <c r="B26" s="7" t="s">
        <v>38</v>
      </c>
      <c r="C26" s="10" t="s">
        <v>47</v>
      </c>
      <c r="D26" s="11">
        <v>45621</v>
      </c>
      <c r="E26" s="12" t="str">
        <f t="shared" ca="1" si="0"/>
        <v>1 ano</v>
      </c>
      <c r="F26" s="13">
        <v>350</v>
      </c>
      <c r="G26" s="15">
        <v>0</v>
      </c>
      <c r="H26" s="15">
        <v>0</v>
      </c>
      <c r="I26" s="16"/>
    </row>
    <row r="27" spans="1:9">
      <c r="A27" s="9" t="s">
        <v>35</v>
      </c>
      <c r="B27" s="7" t="s">
        <v>39</v>
      </c>
      <c r="C27" s="10" t="s">
        <v>48</v>
      </c>
      <c r="D27" s="11">
        <v>45397</v>
      </c>
      <c r="E27" s="12" t="str">
        <f t="shared" ca="1" si="0"/>
        <v>1 ano</v>
      </c>
      <c r="F27" s="13">
        <v>400</v>
      </c>
      <c r="G27" s="15">
        <v>4.2000000000000003E-2</v>
      </c>
      <c r="H27" s="15">
        <v>3.1E-2</v>
      </c>
      <c r="I27" s="16"/>
    </row>
    <row r="28" spans="1:9">
      <c r="A28" s="9" t="s">
        <v>35</v>
      </c>
      <c r="B28" s="7" t="s">
        <v>40</v>
      </c>
      <c r="C28" s="10" t="s">
        <v>48</v>
      </c>
      <c r="D28" s="11">
        <v>45628</v>
      </c>
      <c r="E28" s="12" t="str">
        <f t="shared" ca="1" si="0"/>
        <v>1 ano</v>
      </c>
      <c r="F28" s="13">
        <v>400</v>
      </c>
      <c r="G28" s="15">
        <v>2.9000000000000001E-2</v>
      </c>
      <c r="H28" s="15">
        <v>0.01</v>
      </c>
      <c r="I28" s="16"/>
    </row>
    <row r="29" spans="1:9">
      <c r="A29" s="9" t="s">
        <v>35</v>
      </c>
      <c r="B29" s="7" t="s">
        <v>41</v>
      </c>
      <c r="C29" s="10" t="s">
        <v>48</v>
      </c>
      <c r="D29" s="11">
        <v>45383</v>
      </c>
      <c r="E29" s="12" t="str">
        <f t="shared" ca="1" si="0"/>
        <v>1 ano</v>
      </c>
      <c r="F29" s="13">
        <v>400</v>
      </c>
      <c r="G29" s="15">
        <v>5.0999999999999997E-2</v>
      </c>
      <c r="H29" s="15">
        <v>1.0999999999999999E-2</v>
      </c>
      <c r="I29" s="16"/>
    </row>
    <row r="30" spans="1:9">
      <c r="A30" s="9" t="s">
        <v>35</v>
      </c>
      <c r="B30" s="7" t="s">
        <v>42</v>
      </c>
      <c r="C30" s="10" t="s">
        <v>48</v>
      </c>
      <c r="D30" s="11">
        <v>45401</v>
      </c>
      <c r="E30" s="12" t="str">
        <f t="shared" ca="1" si="0"/>
        <v>1 ano</v>
      </c>
      <c r="F30" s="13">
        <v>400</v>
      </c>
      <c r="G30" s="15">
        <v>4.8000000000000001E-2</v>
      </c>
      <c r="H30" s="15">
        <v>2.3E-2</v>
      </c>
      <c r="I30" s="16"/>
    </row>
    <row r="31" spans="1:9">
      <c r="A31" s="9" t="s">
        <v>35</v>
      </c>
      <c r="B31" s="7" t="s">
        <v>43</v>
      </c>
      <c r="C31" s="10" t="s">
        <v>47</v>
      </c>
      <c r="D31" s="11">
        <v>45209</v>
      </c>
      <c r="E31" s="12" t="str">
        <f t="shared" ca="1" si="0"/>
        <v>2 anos</v>
      </c>
      <c r="F31" s="13">
        <v>350</v>
      </c>
      <c r="G31" s="15">
        <v>0</v>
      </c>
      <c r="H31" s="15">
        <v>0</v>
      </c>
      <c r="I31" s="16"/>
    </row>
    <row r="32" spans="1:9">
      <c r="A32" s="9" t="s">
        <v>35</v>
      </c>
      <c r="B32" s="7" t="s">
        <v>44</v>
      </c>
      <c r="C32" s="10" t="s">
        <v>48</v>
      </c>
      <c r="D32" s="11">
        <v>45566</v>
      </c>
      <c r="E32" s="12" t="str">
        <f t="shared" ca="1" si="0"/>
        <v>1 ano</v>
      </c>
      <c r="F32" s="13">
        <v>0</v>
      </c>
      <c r="G32" s="15">
        <v>0</v>
      </c>
      <c r="H32" s="15">
        <v>0</v>
      </c>
      <c r="I32" s="16" t="s">
        <v>50</v>
      </c>
    </row>
    <row r="33" spans="1:9">
      <c r="A33" s="9" t="s">
        <v>35</v>
      </c>
      <c r="B33" s="7" t="s">
        <v>45</v>
      </c>
      <c r="C33" s="10" t="s">
        <v>48</v>
      </c>
      <c r="D33" s="11">
        <v>45852</v>
      </c>
      <c r="E33" s="12" t="str">
        <f t="shared" ca="1" si="0"/>
        <v>6 meses</v>
      </c>
      <c r="F33" s="13">
        <v>400</v>
      </c>
      <c r="G33" s="15">
        <v>8.3000000000000004E-2</v>
      </c>
      <c r="H33" s="15">
        <v>1.4E-2</v>
      </c>
      <c r="I33" s="16"/>
    </row>
    <row r="34" spans="1:9">
      <c r="A34" s="9" t="s">
        <v>35</v>
      </c>
      <c r="B34" s="7" t="s">
        <v>46</v>
      </c>
      <c r="C34" s="10" t="s">
        <v>48</v>
      </c>
      <c r="D34" s="11">
        <v>45859</v>
      </c>
      <c r="E34" s="12" t="str">
        <f t="shared" ca="1" si="0"/>
        <v>6 meses</v>
      </c>
      <c r="F34" s="13">
        <v>400</v>
      </c>
      <c r="G34" s="15">
        <v>4.7E-2</v>
      </c>
      <c r="H34" s="15">
        <v>7.0000000000000001E-3</v>
      </c>
      <c r="I34" s="16"/>
    </row>
    <row r="35" spans="1:9">
      <c r="A35" s="17" t="s">
        <v>35</v>
      </c>
      <c r="B35" s="7" t="s">
        <v>54</v>
      </c>
      <c r="C35" s="18" t="s">
        <v>55</v>
      </c>
      <c r="D35" s="19">
        <v>45209</v>
      </c>
      <c r="E35" s="12" t="s">
        <v>56</v>
      </c>
      <c r="F35" s="13">
        <v>800</v>
      </c>
      <c r="G35" s="20">
        <v>0</v>
      </c>
      <c r="H35" s="20">
        <v>0</v>
      </c>
      <c r="I35" s="2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OUTUBRO</vt:lpstr>
      <vt:lpstr>NOVEMBRO</vt:lpstr>
      <vt:lpstr>DEZEMBRO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Wendell Bruno</dc:creator>
  <cp:lastModifiedBy>Wendell Bruno</cp:lastModifiedBy>
  <dcterms:created xsi:type="dcterms:W3CDTF">2026-01-21T11:16:18Z</dcterms:created>
  <dcterms:modified xsi:type="dcterms:W3CDTF">2026-01-21T11:27:48Z</dcterms:modified>
</cp:coreProperties>
</file>